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ae63a5344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Matrix" sheetId="1" r:id="R0089c98a3c974036"/>
    <x:sheet xmlns:r="http://schemas.openxmlformats.org/officeDocument/2006/relationships" name="Instructions" sheetId="2" r:id="R5e65487610944f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003399"/>
      </x:patternFill>
    </x:fill>
    <x:fill>
      <x:patternFill patternType="solid">
        <x:fgColor rgb="FFFEF3C7"/>
      </x:patternFill>
    </x:fill>
    <x:fill>
      <x:patternFill patternType="solid">
        <x:fgColor rgb="FF14B8A6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18b50c1df40e4" /><Relationship Type="http://schemas.openxmlformats.org/officeDocument/2006/relationships/theme" Target="/xl/theme/theme1.xml" Id="R3fc53273153c4a65" /><Relationship Type="http://schemas.openxmlformats.org/officeDocument/2006/relationships/sharedStrings" Target="/xl/sharedStrings.xml" Id="R37a0eb4692504633" /><Relationship Type="http://schemas.openxmlformats.org/officeDocument/2006/relationships/worksheet" Target="/xl/worksheets/sheet1.xml" Id="R0089c98a3c974036" /><Relationship Type="http://schemas.openxmlformats.org/officeDocument/2006/relationships/worksheet" Target="/xl/worksheets/sheet2.xml" Id="R5e65487610944f8c" /></Relationships>
</file>

<file path=xl/tables/table1.xml><?xml version="1.0" encoding="utf-8"?>
<x:table xmlns:x="http://schemas.openxmlformats.org/spreadsheetml/2006/main" id="1" name="DecisionMatrixTable" displayName="DecisionMatrixTable" ref="A4:N14" headerRowCount="1">
  <x:tableColumns count="14">
    <x:tableColumn id="1" name="Criterion"/>
    <x:tableColumn id="2" name="Weight (1-5)"/>
    <x:tableColumn id="3" name="Why This Matters"/>
    <x:tableColumn id="4" name="Concept A Score (1-4)"/>
    <x:tableColumn id="5" name="A Weighted"/>
    <x:tableColumn id="6" name="Concept B Score (1-4)"/>
    <x:tableColumn id="7" name="B Weighted"/>
    <x:tableColumn id="8" name="Concept C Score (1-4)"/>
    <x:tableColumn id="9" name="C Weighted"/>
    <x:tableColumn id="10" name="Concept D Score (1-4)"/>
    <x:tableColumn id="11" name="D Weighted"/>
    <x:tableColumn id="12" name="Evidence / Notes"/>
    <x:tableColumn id="13" name="Best Concept"/>
    <x:tableColumn id="14" name="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e195a7821d479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30" hidden="0" customWidth="1"/>
    <x:col min="4" max="4" width="14" hidden="0" customWidth="1"/>
    <x:col min="5" max="5" width="12" hidden="0" customWidth="1"/>
    <x:col min="6" max="6" width="14" hidden="0" customWidth="1"/>
    <x:col min="7" max="7" width="12" hidden="0" customWidth="1"/>
    <x:col min="8" max="8" width="14" hidden="0" customWidth="1"/>
    <x:col min="9" max="9" width="12" hidden="0" customWidth="1"/>
    <x:col min="10" max="10" width="14" hidden="0" customWidth="1"/>
    <x:col min="11" max="11" width="12" hidden="0" customWidth="1"/>
    <x:col min="12" max="12" width="32" hidden="0" customWidth="1"/>
    <x:col min="13" max="13" width="16" hidden="0" customWidth="1"/>
    <x:col min="14" max="14" width="18" hidden="0" customWidth="1"/>
  </x:cols>
  <x:sheetData>
    <x:row r="1" ht="34" customHeight="1">
      <x:c r="A1" s="5" t="str">
        <x:v>Lockwood STEM Decision Matrix Template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4" customHeight="1">
      <x:c r="A2" s="13" t="str">
        <x:v>Compare design concepts using weighted criteria and evidence-based scoring.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2" customHeight="1">
      <x:c r="A4" s="22" t="str">
        <x:v>Criterion</x:v>
      </x:c>
      <x:c r="B4" s="22" t="str">
        <x:v>Weight (1-5)</x:v>
      </x:c>
      <x:c r="C4" s="22" t="str">
        <x:v>Why This Matters</x:v>
      </x:c>
      <x:c r="D4" s="22" t="str">
        <x:v>Concept A Score (1-4)</x:v>
      </x:c>
      <x:c r="E4" s="22" t="str">
        <x:v>A Weighted</x:v>
      </x:c>
      <x:c r="F4" s="22" t="str">
        <x:v>Concept B Score (1-4)</x:v>
      </x:c>
      <x:c r="G4" s="22" t="str">
        <x:v>B Weighted</x:v>
      </x:c>
      <x:c r="H4" s="22" t="str">
        <x:v>Concept C Score (1-4)</x:v>
      </x:c>
      <x:c r="I4" s="22" t="str">
        <x:v>C Weighted</x:v>
      </x:c>
      <x:c r="J4" s="22" t="str">
        <x:v>Concept D Score (1-4)</x:v>
      </x:c>
      <x:c r="K4" s="22" t="str">
        <x:v>D Weighted</x:v>
      </x:c>
      <x:c r="L4" s="22" t="str">
        <x:v>Evidence / Notes</x:v>
      </x:c>
      <x:c r="M4" s="22" t="str">
        <x:v>Best Concept</x:v>
      </x:c>
      <x:c r="N4" s="22" t="str">
        <x:v>Action</x:v>
      </x:c>
    </x:row>
    <x:row r="5" ht="15" hidden="0" customHeight="1">
      <x:c r="A5" s="51" t="str">
        <x:v>Payload protection</x:v>
      </x:c>
      <x:c r="B5" s="51" t="n">
        <x:v>3</x:v>
      </x:c>
      <x:c r="C5" s="51" t="str"/>
      <x:c r="D5" s="51" t="str"/>
      <x:c r="E5" s="51" t="n">
        <x:f>IFERROR($B5*D5,"")</x:f>
        <x:v>0</x:v>
      </x:c>
      <x:c r="F5" s="51" t="str"/>
      <x:c r="G5" s="51" t="n">
        <x:f>IFERROR($B5*F5,"")</x:f>
        <x:v>0</x:v>
      </x:c>
      <x:c r="H5" s="51" t="str"/>
      <x:c r="I5" s="51" t="n">
        <x:f>IFERROR($B5*H5,"")</x:f>
        <x:v>0</x:v>
      </x:c>
      <x:c r="J5" s="51" t="str"/>
      <x:c r="K5" s="51" t="n">
        <x:f>IFERROR($B5*J5,"")</x:f>
        <x:v>0</x:v>
      </x:c>
      <x:c r="L5" s="51" t="str"/>
      <x:c r="M5" s="51" t="str">
        <x:f>IF(MAX(E5,G5,I5,K5)=0,"",CHOOSE(MATCH(MAX(E5,G5,I5,K5),E5:K5,0),"Concept A","Concept A","Concept B","Concept B","Concept C","Concept C","Concept D"))</x:f>
      </x:c>
      <x:c r="N5" s="51" t="str"/>
    </x:row>
    <x:row r="6" ht="15" hidden="0" customHeight="1">
      <x:c r="A6" s="51" t="str">
        <x:v>Delivery accuracy</x:v>
      </x:c>
      <x:c r="B6" s="51" t="n">
        <x:v>3</x:v>
      </x:c>
      <x:c r="C6" s="51" t="str"/>
      <x:c r="D6" s="51" t="str"/>
      <x:c r="E6" s="51" t="n">
        <x:f>IFERROR($B6*D6,"")</x:f>
        <x:v>0</x:v>
      </x:c>
      <x:c r="F6" s="51" t="str"/>
      <x:c r="G6" s="51" t="n">
        <x:f>IFERROR($B6*F6,"")</x:f>
        <x:v>0</x:v>
      </x:c>
      <x:c r="H6" s="51" t="str"/>
      <x:c r="I6" s="51" t="n">
        <x:f>IFERROR($B6*H6,"")</x:f>
        <x:v>0</x:v>
      </x:c>
      <x:c r="J6" s="51" t="str"/>
      <x:c r="K6" s="51" t="n">
        <x:f>IFERROR($B6*J6,"")</x:f>
        <x:v>0</x:v>
      </x:c>
      <x:c r="L6" s="51" t="str"/>
      <x:c r="M6" s="51" t="str">
        <x:f>IF(MAX(E6,G6,I6,K6)=0,"",CHOOSE(MATCH(MAX(E6,G6,I6,K6),E6:K6,0),"Concept A","Concept A","Concept B","Concept B","Concept C","Concept C","Concept D"))</x:f>
      </x:c>
      <x:c r="N6" s="51" t="str"/>
    </x:row>
    <x:row r="7" ht="15" hidden="0" customHeight="1">
      <x:c r="A7" s="51" t="str">
        <x:v>Recoverability</x:v>
      </x:c>
      <x:c r="B7" s="51" t="n">
        <x:v>3</x:v>
      </x:c>
      <x:c r="C7" s="51" t="str"/>
      <x:c r="D7" s="51" t="str"/>
      <x:c r="E7" s="51" t="n">
        <x:f>IFERROR($B7*D7,"")</x:f>
        <x:v>0</x:v>
      </x:c>
      <x:c r="F7" s="51" t="str"/>
      <x:c r="G7" s="51" t="n">
        <x:f>IFERROR($B7*F7,"")</x:f>
        <x:v>0</x:v>
      </x:c>
      <x:c r="H7" s="51" t="str"/>
      <x:c r="I7" s="51" t="n">
        <x:f>IFERROR($B7*H7,"")</x:f>
        <x:v>0</x:v>
      </x:c>
      <x:c r="J7" s="51" t="str"/>
      <x:c r="K7" s="51" t="n">
        <x:f>IFERROR($B7*J7,"")</x:f>
        <x:v>0</x:v>
      </x:c>
      <x:c r="L7" s="51" t="str"/>
      <x:c r="M7" s="51" t="str">
        <x:f>IF(MAX(E7,G7,I7,K7)=0,"",CHOOSE(MATCH(MAX(E7,G7,I7,K7),E7:K7,0),"Concept A","Concept A","Concept B","Concept B","Concept C","Concept C","Concept D"))</x:f>
      </x:c>
      <x:c r="N7" s="51" t="str"/>
    </x:row>
    <x:row r="8" ht="15" hidden="0" customHeight="1">
      <x:c r="A8" s="51" t="str">
        <x:v>Low mass</x:v>
      </x:c>
      <x:c r="B8" s="51" t="n">
        <x:v>3</x:v>
      </x:c>
      <x:c r="C8" s="51" t="str"/>
      <x:c r="D8" s="51" t="str"/>
      <x:c r="E8" s="51" t="n">
        <x:f>IFERROR($B8*D8,"")</x:f>
        <x:v>0</x:v>
      </x:c>
      <x:c r="F8" s="51" t="str"/>
      <x:c r="G8" s="51" t="n">
        <x:f>IFERROR($B8*F8,"")</x:f>
        <x:v>0</x:v>
      </x:c>
      <x:c r="H8" s="51" t="str"/>
      <x:c r="I8" s="51" t="n">
        <x:f>IFERROR($B8*H8,"")</x:f>
        <x:v>0</x:v>
      </x:c>
      <x:c r="J8" s="51" t="str"/>
      <x:c r="K8" s="51" t="n">
        <x:f>IFERROR($B8*J8,"")</x:f>
        <x:v>0</x:v>
      </x:c>
      <x:c r="L8" s="51" t="str"/>
      <x:c r="M8" s="51" t="str">
        <x:f>IF(MAX(E8,G8,I8,K8)=0,"",CHOOSE(MATCH(MAX(E8,G8,I8,K8),E8:K8,0),"Concept A","Concept A","Concept B","Concept B","Concept C","Concept C","Concept D"))</x:f>
      </x:c>
      <x:c r="N8" s="51" t="str"/>
    </x:row>
    <x:row r="9" ht="15" hidden="0" customHeight="1">
      <x:c r="A9" s="51" t="str">
        <x:v>Manufacturability</x:v>
      </x:c>
      <x:c r="B9" s="51" t="n">
        <x:v>3</x:v>
      </x:c>
      <x:c r="C9" s="51" t="str"/>
      <x:c r="D9" s="51" t="str"/>
      <x:c r="E9" s="51" t="n">
        <x:f>IFERROR($B9*D9,"")</x:f>
        <x:v>0</x:v>
      </x:c>
      <x:c r="F9" s="51" t="str"/>
      <x:c r="G9" s="51" t="n">
        <x:f>IFERROR($B9*F9,"")</x:f>
        <x:v>0</x:v>
      </x:c>
      <x:c r="H9" s="51" t="str"/>
      <x:c r="I9" s="51" t="n">
        <x:f>IFERROR($B9*H9,"")</x:f>
        <x:v>0</x:v>
      </x:c>
      <x:c r="J9" s="51" t="str"/>
      <x:c r="K9" s="51" t="n">
        <x:f>IFERROR($B9*J9,"")</x:f>
        <x:v>0</x:v>
      </x:c>
      <x:c r="L9" s="51" t="str"/>
      <x:c r="M9" s="51" t="str">
        <x:f>IF(MAX(E9,G9,I9,K9)=0,"",CHOOSE(MATCH(MAX(E9,G9,I9,K9),E9:K9,0),"Concept A","Concept A","Concept B","Concept B","Concept C","Concept C","Concept D"))</x:f>
      </x:c>
      <x:c r="N9" s="51" t="str"/>
    </x:row>
    <x:row r="10" ht="15" hidden="0" customHeight="1">
      <x:c r="A10" s="51" t="str">
        <x:v>Reliability</x:v>
      </x:c>
      <x:c r="B10" s="51" t="n">
        <x:v>3</x:v>
      </x:c>
      <x:c r="C10" s="51" t="str"/>
      <x:c r="D10" s="51" t="str"/>
      <x:c r="E10" s="51" t="n">
        <x:f>IFERROR($B10*D10,"")</x:f>
        <x:v>0</x:v>
      </x:c>
      <x:c r="F10" s="51" t="str"/>
      <x:c r="G10" s="51" t="n">
        <x:f>IFERROR($B10*F10,"")</x:f>
        <x:v>0</x:v>
      </x:c>
      <x:c r="H10" s="51" t="str"/>
      <x:c r="I10" s="51" t="n">
        <x:f>IFERROR($B10*H10,"")</x:f>
        <x:v>0</x:v>
      </x:c>
      <x:c r="J10" s="51" t="str"/>
      <x:c r="K10" s="51" t="n">
        <x:f>IFERROR($B10*J10,"")</x:f>
        <x:v>0</x:v>
      </x:c>
      <x:c r="L10" s="51" t="str"/>
      <x:c r="M10" s="51" t="str">
        <x:f>IF(MAX(E10,G10,I10,K10)=0,"",CHOOSE(MATCH(MAX(E10,G10,I10,K10),E10:K10,0),"Concept A","Concept A","Concept B","Concept B","Concept C","Concept C","Concept D"))</x:f>
      </x:c>
      <x:c r="N10" s="51" t="str"/>
    </x:row>
    <x:row r="11" ht="15" hidden="0" customHeight="1">
      <x:c r="A11" s="51" t="str">
        <x:v>Safety</x:v>
      </x:c>
      <x:c r="B11" s="51" t="n">
        <x:v>3</x:v>
      </x:c>
      <x:c r="C11" s="51" t="str"/>
      <x:c r="D11" s="51" t="str"/>
      <x:c r="E11" s="51" t="n">
        <x:f>IFERROR($B11*D11,"")</x:f>
        <x:v>0</x:v>
      </x:c>
      <x:c r="F11" s="51" t="str"/>
      <x:c r="G11" s="51" t="n">
        <x:f>IFERROR($B11*F11,"")</x:f>
        <x:v>0</x:v>
      </x:c>
      <x:c r="H11" s="51" t="str"/>
      <x:c r="I11" s="51" t="n">
        <x:f>IFERROR($B11*H11,"")</x:f>
        <x:v>0</x:v>
      </x:c>
      <x:c r="J11" s="51" t="str"/>
      <x:c r="K11" s="51" t="n">
        <x:f>IFERROR($B11*J11,"")</x:f>
        <x:v>0</x:v>
      </x:c>
      <x:c r="L11" s="51" t="str"/>
      <x:c r="M11" s="51" t="str">
        <x:f>IF(MAX(E11,G11,I11,K11)=0,"",CHOOSE(MATCH(MAX(E11,G11,I11,K11),E11:K11,0),"Concept A","Concept A","Concept B","Concept B","Concept C","Concept C","Concept D"))</x:f>
      </x:c>
      <x:c r="N11" s="51" t="str"/>
    </x:row>
    <x:row r="12" ht="15" hidden="0" customHeight="1">
      <x:c r="A12" s="51" t="str">
        <x:v>Cost control</x:v>
      </x:c>
      <x:c r="B12" s="51" t="n">
        <x:v>3</x:v>
      </x:c>
      <x:c r="C12" s="51" t="str"/>
      <x:c r="D12" s="51" t="str"/>
      <x:c r="E12" s="51" t="n">
        <x:f>IFERROR($B12*D12,"")</x:f>
        <x:v>0</x:v>
      </x:c>
      <x:c r="F12" s="51" t="str"/>
      <x:c r="G12" s="51" t="n">
        <x:f>IFERROR($B12*F12,"")</x:f>
        <x:v>0</x:v>
      </x:c>
      <x:c r="H12" s="51" t="str"/>
      <x:c r="I12" s="51" t="n">
        <x:f>IFERROR($B12*H12,"")</x:f>
        <x:v>0</x:v>
      </x:c>
      <x:c r="J12" s="51" t="str"/>
      <x:c r="K12" s="51" t="n">
        <x:f>IFERROR($B12*J12,"")</x:f>
        <x:v>0</x:v>
      </x:c>
      <x:c r="L12" s="51" t="str"/>
      <x:c r="M12" s="51" t="str">
        <x:f>IF(MAX(E12,G12,I12,K12)=0,"",CHOOSE(MATCH(MAX(E12,G12,I12,K12),E12:K12,0),"Concept A","Concept A","Concept B","Concept B","Concept C","Concept C","Concept D"))</x:f>
      </x:c>
      <x:c r="N12" s="51" t="str"/>
    </x:row>
    <x:row r="13" ht="15" hidden="0" customHeight="1">
      <x:c r="A13" s="51" t="str">
        <x:v>Weather tolerance</x:v>
      </x:c>
      <x:c r="B13" s="51" t="n">
        <x:v>3</x:v>
      </x:c>
      <x:c r="C13" s="51" t="str"/>
      <x:c r="D13" s="51" t="str"/>
      <x:c r="E13" s="51" t="n">
        <x:f>IFERROR($B13*D13,"")</x:f>
        <x:v>0</x:v>
      </x:c>
      <x:c r="F13" s="51" t="str"/>
      <x:c r="G13" s="51" t="n">
        <x:f>IFERROR($B13*F13,"")</x:f>
        <x:v>0</x:v>
      </x:c>
      <x:c r="H13" s="51" t="str"/>
      <x:c r="I13" s="51" t="n">
        <x:f>IFERROR($B13*H13,"")</x:f>
        <x:v>0</x:v>
      </x:c>
      <x:c r="J13" s="51" t="str"/>
      <x:c r="K13" s="51" t="n">
        <x:f>IFERROR($B13*J13,"")</x:f>
        <x:v>0</x:v>
      </x:c>
      <x:c r="L13" s="51" t="str"/>
      <x:c r="M13" s="51" t="str">
        <x:f>IF(MAX(E13,G13,I13,K13)=0,"",CHOOSE(MATCH(MAX(E13,G13,I13,K13),E13:K13,0),"Concept A","Concept A","Concept B","Concept B","Concept C","Concept C","Concept D"))</x:f>
      </x:c>
      <x:c r="N13" s="51" t="str"/>
    </x:row>
    <x:row r="14" ht="15" hidden="0" customHeight="1">
      <x:c r="A14" s="51" t="str">
        <x:v>Ease of testing</x:v>
      </x:c>
      <x:c r="B14" s="51" t="n">
        <x:v>3</x:v>
      </x:c>
      <x:c r="C14" s="51" t="str"/>
      <x:c r="D14" s="51" t="str"/>
      <x:c r="E14" s="51" t="n">
        <x:f>IFERROR($B14*D14,"")</x:f>
        <x:v>0</x:v>
      </x:c>
      <x:c r="F14" s="51" t="str"/>
      <x:c r="G14" s="51" t="n">
        <x:f>IFERROR($B14*F14,"")</x:f>
        <x:v>0</x:v>
      </x:c>
      <x:c r="H14" s="51" t="str"/>
      <x:c r="I14" s="51" t="n">
        <x:f>IFERROR($B14*H14,"")</x:f>
        <x:v>0</x:v>
      </x:c>
      <x:c r="J14" s="51" t="str"/>
      <x:c r="K14" s="51" t="n">
        <x:f>IFERROR($B14*J14,"")</x:f>
        <x:v>0</x:v>
      </x:c>
      <x:c r="L14" s="51" t="str"/>
      <x:c r="M14" s="51" t="str">
        <x:f>IF(MAX(E14,G14,I14,K14)=0,"",CHOOSE(MATCH(MAX(E14,G14,I14,K14),E14:K14,0),"Concept A","Concept A","Concept B","Concept B","Concept C","Concept C","Concept D"))</x:f>
      </x:c>
      <x:c r="N14" s="51" t="str"/>
    </x:row>
    <x:row r="15" ht="15" hidden="0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</x:row>
    <x:row r="16" ht="15" hidden="0" customHeight="1">
      <x:c r="A16" s="52" t="str">
        <x:v>Total Weighted Score</x:v>
      </x:c>
      <x:c r="B16" s="52"/>
      <x:c r="C16" s="52"/>
      <x:c r="D16" s="52"/>
      <x:c r="E16" s="52" t="n">
        <x:f>SUM(E5:E14)</x:f>
        <x:v>0</x:v>
      </x:c>
      <x:c r="F16" s="52"/>
      <x:c r="G16" s="52" t="n">
        <x:f>SUM(G5:G14)</x:f>
        <x:v>0</x:v>
      </x:c>
      <x:c r="H16" s="52"/>
      <x:c r="I16" s="52" t="n">
        <x:f>SUM(I5:I14)</x:f>
        <x:v>0</x:v>
      </x:c>
      <x:c r="J16" s="52"/>
      <x:c r="K16" s="52" t="n">
        <x:f>SUM(K5:K14)</x:f>
        <x:v>0</x:v>
      </x:c>
      <x:c r="L16" s="52"/>
      <x:c r="M16" s="52"/>
      <x:c r="N16" s="52"/>
    </x:row>
    <x:row r="17" ht="15" hidden="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</x:row>
    <x:row r="18" ht="15" hidden="0" customHeight="1">
      <x:c r="A18" s="53" t="str">
        <x:v>Recommended Concept</x:v>
      </x:c>
      <x:c r="B18" s="43" t="str">
        <x:f>CHOOSE(MATCH(MAX(E16,G16,I16,K16),{E16,G16,I16,K16},0),"Concept A","Concept B","Concept C","Concept D")</x:f>
        <x:v>Concept A</x:v>
      </x:c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</x:row>
    <x:row r="19" ht="145.1999969482422" hidden="0" customHeight="1">
      <x:c r="A19" s="53" t="str">
        <x:v>Justification Summary</x:v>
      </x:c>
      <x:c r="B19" s="43" t="str">
        <x:v>Explain why the recommended concept should move forward. Reference criteria, constraints, research, trade-offs, and known risks.</x:v>
      </x:c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</x:row>
    <x:row r="20" ht="15" hidden="0" customHeight="1">
      <x:c r="A20" s="51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</x:row>
    <x:row r="21" ht="15" hidden="0" customHeight="1">
      <x:c r="A21" s="51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</x:row>
    <x:row r="22" ht="15" hidden="0" customHeight="1">
      <x:c r="A22" s="51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</x:row>
  </x:sheetData>
  <x:mergeCells>
    <x:mergeCell ref="A1:N1"/>
    <x:mergeCell ref="A2:N2"/>
    <x:mergeCell ref="B19:N22"/>
  </x:mergeCells>
  <x:conditionalFormatting sqref="E5:E1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G5:G16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5:I16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5:K16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6">
    <x:dataValidation type="list" sqref="B5:B14">
      <x:formula1>"1,2,3,4,5"</x:formula1>
    </x:dataValidation>
    <x:dataValidation type="list" sqref="D5:D14">
      <x:formula1>"1,2,3,4"</x:formula1>
    </x:dataValidation>
    <x:dataValidation type="list" sqref="F5:F14">
      <x:formula1>"1,2,3,4"</x:formula1>
    </x:dataValidation>
    <x:dataValidation type="list" sqref="H5:H14">
      <x:formula1>"1,2,3,4"</x:formula1>
    </x:dataValidation>
    <x:dataValidation type="list" sqref="J5:J14">
      <x:formula1>"1,2,3,4"</x:formula1>
    </x:dataValidation>
    <x:dataValidation type="list" sqref="N5:N14">
      <x:formula1>"Keep,Revise,Remove,Needs Evidence"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e195a7821d47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24" hidden="0" customWidth="1"/>
    <x:col min="5" max="5" width="28" hidden="0" customWidth="1"/>
    <x:col min="6" max="6" width="24" hidden="0" customWidth="1"/>
  </x:cols>
  <x:sheetData>
    <x:row r="1" ht="34" customHeight="1">
      <x:c r="A1" s="5" t="str">
        <x:v>How to Use This Decision Matrix</x:v>
      </x:c>
      <x:c r="B1" s="5"/>
      <x:c r="C1" s="5"/>
      <x:c r="D1" s="5"/>
      <x:c r="E1" s="5"/>
      <x:c r="F1" s="5"/>
    </x:row>
    <x:row r="2" ht="24" customHeight="1">
      <x:c r="A2" s="13" t="str">
        <x:v>Use evidence, not preference, to compare possible solutions.</x:v>
      </x:c>
      <x:c r="B2" s="13"/>
      <x:c r="C2" s="13"/>
      <x:c r="D2" s="13"/>
      <x:c r="E2" s="13"/>
      <x:c r="F2" s="13"/>
    </x:row>
    <x:row r="4" ht="32" customHeight="1">
      <x:c r="A4" s="22" t="str">
        <x:v>Step</x:v>
      </x:c>
      <x:c r="B4" s="22" t="str">
        <x:v>What to Do</x:v>
      </x:c>
      <x:c r="C4" s="22" t="str">
        <x:v>Teacher Notes</x:v>
      </x:c>
      <x:c r="D4" s="22" t="str">
        <x:v>Student Evidence</x:v>
      </x:c>
      <x:c r="E4" s="22" t="str">
        <x:v>Common Mistake</x:v>
      </x:c>
      <x:c r="F4" s="22" t="str">
        <x:v>Fix</x:v>
      </x:c>
    </x:row>
    <x:row r="5" ht="26.399999618530273" hidden="0" customHeight="1">
      <x:c r="A5" s="51" t="str">
        <x:v>1</x:v>
      </x:c>
      <x:c r="B5" s="51" t="str">
        <x:v>List the criteria that matter most for the mission.</x:v>
      </x:c>
      <x:c r="C5" s="51" t="str">
        <x:v>Criteria should connect to project success.</x:v>
      </x:c>
      <x:c r="D5" s="51" t="str">
        <x:v>Mission brief and stakeholder needs.</x:v>
      </x:c>
      <x:c r="E5" s="51" t="str">
        <x:v>Criteria are too vague.</x:v>
      </x:c>
      <x:c r="F5" s="51" t="str">
        <x:v>Use measurable or observable criteria.</x:v>
      </x:c>
    </x:row>
    <x:row r="6" ht="26.399999618530273" hidden="0" customHeight="1">
      <x:c r="A6" s="51" t="str">
        <x:v>2</x:v>
      </x:c>
      <x:c r="B6" s="51" t="str">
        <x:v>Assign a weight from 1–5.</x:v>
      </x:c>
      <x:c r="C6" s="51" t="str">
        <x:v>Higher weight = more important.</x:v>
      </x:c>
      <x:c r="D6" s="51" t="str">
        <x:v>Criteria/constraints chart.</x:v>
      </x:c>
      <x:c r="E6" s="51" t="str">
        <x:v>Everything is weighted 5.</x:v>
      </x:c>
      <x:c r="F6" s="51" t="str">
        <x:v>Discuss trade-offs and priorities.</x:v>
      </x:c>
    </x:row>
    <x:row r="7" ht="26.399999618530273" hidden="0" customHeight="1">
      <x:c r="A7" s="51" t="str">
        <x:v>3</x:v>
      </x:c>
      <x:c r="B7" s="51" t="str">
        <x:v>Score each concept from 1–4.</x:v>
      </x:c>
      <x:c r="C7" s="51" t="str">
        <x:v>Use evidence from sketches/research.</x:v>
      </x:c>
      <x:c r="D7" s="51" t="str">
        <x:v>Research notes and sketches.</x:v>
      </x:c>
      <x:c r="E7" s="51" t="str">
        <x:v>Scoring favorite idea higher without evidence.</x:v>
      </x:c>
      <x:c r="F7" s="51" t="str">
        <x:v>Require a note explaining key scores.</x:v>
      </x:c>
    </x:row>
    <x:row r="8" ht="26.399999618530273" hidden="0" customHeight="1">
      <x:c r="A8" s="51" t="str">
        <x:v>4</x:v>
      </x:c>
      <x:c r="B8" s="51" t="str">
        <x:v>Review the totals and recommendation.</x:v>
      </x:c>
      <x:c r="C8" s="51" t="str">
        <x:v>The top score informs the decision.</x:v>
      </x:c>
      <x:c r="D8" s="51" t="str">
        <x:v>Total weighted score.</x:v>
      </x:c>
      <x:c r="E8" s="51" t="str">
        <x:v>Assuming the matrix is automatic truth.</x:v>
      </x:c>
      <x:c r="F8" s="51" t="str">
        <x:v>Write a final justification.</x:v>
      </x:c>
    </x:row>
    <x:row r="9" ht="26.399999618530273" hidden="0" customHeight="1">
      <x:c r="A9" s="51" t="str">
        <x:v>5</x:v>
      </x:c>
      <x:c r="B9" s="51" t="str">
        <x:v>Document risks and next steps.</x:v>
      </x:c>
      <x:c r="C9" s="51" t="str">
        <x:v>Engineering decisions should be honest.</x:v>
      </x:c>
      <x:c r="D9" s="51" t="str">
        <x:v>Known limitations.</x:v>
      </x:c>
      <x:c r="E9" s="51" t="str">
        <x:v>Hiding weaknesses.</x:v>
      </x:c>
      <x:c r="F9" s="51" t="str">
        <x:v>Identify what needs testing first.</x:v>
      </x:c>
    </x:row>
  </x:sheetData>
  <x:mergeCells>
    <x:mergeCell ref="A1:F1"/>
    <x:mergeCell ref="A2:F2"/>
  </x:mergeCells>
  <x:pageMargins left="0.7" right="0.7" top="0.75" bottom="0.75" header="0.3" footer="0.3"/>
</x:worksheet>
</file>