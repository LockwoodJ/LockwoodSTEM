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2d00dd035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19911963aaa141eb"/>
    <x:sheet xmlns:r="http://schemas.openxmlformats.org/officeDocument/2006/relationships" name="Instructions" sheetId="2" r:id="R211b0d3ceb7d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003399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aba496a7b417a" /><Relationship Type="http://schemas.openxmlformats.org/officeDocument/2006/relationships/theme" Target="/xl/theme/theme1.xml" Id="R0362ecdc600443fe" /><Relationship Type="http://schemas.openxmlformats.org/officeDocument/2006/relationships/sharedStrings" Target="/xl/sharedStrings.xml" Id="R84d35ccde6724de2" /><Relationship Type="http://schemas.openxmlformats.org/officeDocument/2006/relationships/worksheet" Target="/xl/worksheets/sheet1.xml" Id="R19911963aaa141eb" /><Relationship Type="http://schemas.openxmlformats.org/officeDocument/2006/relationships/worksheet" Target="/xl/worksheets/sheet2.xml" Id="R211b0d3ceb7d4d4f" /></Relationships>
</file>

<file path=xl/tables/table1.xml><?xml version="1.0" encoding="utf-8"?>
<x:table xmlns:x="http://schemas.openxmlformats.org/spreadsheetml/2006/main" id="1" name="BOMTable" displayName="BOMTable" ref="A4:M29" headerRowCount="1">
  <x:tableColumns count="13">
    <x:tableColumn id="1" name="Item #"/>
    <x:tableColumn id="2" name="Part Name"/>
    <x:tableColumn id="3" name="Subsystem"/>
    <x:tableColumn id="4" name="Part Type"/>
    <x:tableColumn id="5" name="Qty"/>
    <x:tableColumn id="6" name="Unit Cost"/>
    <x:tableColumn id="7" name="Total Cost"/>
    <x:tableColumn id="8" name="Material"/>
    <x:tableColumn id="9" name="Manufacturing Method"/>
    <x:tableColumn id="10" name="Supplier / Source"/>
    <x:tableColumn id="11" name="Status"/>
    <x:tableColumn id="12" name="Revision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50231158e454ae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16" hidden="0" customWidth="1"/>
    <x:col min="5" max="5" width="8" hidden="0" customWidth="1"/>
    <x:col min="6" max="6" width="12" hidden="0" customWidth="1"/>
    <x:col min="7" max="7" width="12" hidden="0" customWidth="1"/>
    <x:col min="8" max="8" width="18" hidden="0" customWidth="1"/>
    <x:col min="9" max="9" width="18" hidden="0" customWidth="1"/>
    <x:col min="10" max="10" width="22" hidden="0" customWidth="1"/>
    <x:col min="11" max="11" width="18" hidden="0" customWidth="1"/>
    <x:col min="12" max="12" width="10" hidden="0" customWidth="1"/>
    <x:col min="13" max="13" width="32" hidden="0" customWidth="1"/>
    <x:col min="15" max="15" width="22" hidden="0" customWidth="1"/>
    <x:col min="16" max="16" width="16" hidden="0" customWidth="1"/>
    <x:col min="17" max="17" width="30" hidden="0" customWidth="1"/>
  </x:cols>
  <x:sheetData>
    <x:row r="1" ht="34" customHeight="1">
      <x:c r="A1" s="5" t="str">
        <x:v>Lockwood STEM Bill of Materials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13" t="str">
        <x:v>Track parts, materials, costs, fabrication methods, and procurement status.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22" t="str">
        <x:v>Item #</x:v>
      </x:c>
      <x:c r="B4" s="22" t="str">
        <x:v>Part Name</x:v>
      </x:c>
      <x:c r="C4" s="22" t="str">
        <x:v>Subsystem</x:v>
      </x:c>
      <x:c r="D4" s="22" t="str">
        <x:v>Part Type</x:v>
      </x:c>
      <x:c r="E4" s="22" t="str">
        <x:v>Qty</x:v>
      </x:c>
      <x:c r="F4" s="22" t="str">
        <x:v>Unit Cost</x:v>
      </x:c>
      <x:c r="G4" s="22" t="str">
        <x:v>Total Cost</x:v>
      </x:c>
      <x:c r="H4" s="22" t="str">
        <x:v>Material</x:v>
      </x:c>
      <x:c r="I4" s="22" t="str">
        <x:v>Manufacturing Method</x:v>
      </x:c>
      <x:c r="J4" s="22" t="str">
        <x:v>Supplier / Source</x:v>
      </x:c>
      <x:c r="K4" s="22" t="str">
        <x:v>Status</x:v>
      </x:c>
      <x:c r="L4" s="22" t="str">
        <x:v>Revision</x:v>
      </x:c>
      <x:c r="M4" s="22" t="str">
        <x:v>Notes</x:v>
      </x:c>
      <x:c r="O4" s="22" t="str">
        <x:v>Summary</x:v>
      </x:c>
      <x:c r="P4" s="22" t="str">
        <x:v>Value</x:v>
      </x:c>
      <x:c r="Q4" s="22" t="str">
        <x:v>Notes</x:v>
      </x:c>
    </x:row>
    <x:row r="5" ht="15" hidden="0" customHeight="1">
      <x:c r="A5" s="32" t="n">
        <x:v>1</x:v>
      </x:c>
      <x:c r="B5" s="32" t="str"/>
      <x:c r="C5" s="32" t="str"/>
      <x:c r="D5" s="32" t="str"/>
      <x:c r="E5" s="32" t="str"/>
      <x:c r="F5" s="33" t="str"/>
      <x:c r="G5" s="33" t="n">
        <x:f>IFERROR(E5*F5,"")</x:f>
        <x:v>0</x:v>
      </x:c>
      <x:c r="H5" s="32" t="str"/>
      <x:c r="I5" s="32" t="str"/>
      <x:c r="J5" s="32" t="str"/>
      <x:c r="K5" s="32" t="str">
        <x:v>Planned</x:v>
      </x:c>
      <x:c r="L5" s="32" t="str">
        <x:v>A</x:v>
      </x:c>
      <x:c r="M5" s="32" t="str"/>
      <x:c r="O5" t="str">
        <x:v>Total Estimated Cost</x:v>
      </x:c>
      <x:c r="P5" t="n">
        <x:f>SUM(G5:G29)</x:f>
        <x:v>0</x:v>
      </x:c>
      <x:c r="Q5" t="str">
        <x:v>Sum of all total costs</x:v>
      </x:c>
    </x:row>
    <x:row r="6" ht="15" hidden="0" customHeight="1">
      <x:c r="A6" s="32" t="n">
        <x:v>2</x:v>
      </x:c>
      <x:c r="B6" s="32" t="str"/>
      <x:c r="C6" s="32" t="str"/>
      <x:c r="D6" s="32" t="str"/>
      <x:c r="E6" s="32" t="str"/>
      <x:c r="F6" s="33" t="str"/>
      <x:c r="G6" s="33" t="n">
        <x:f>IFERROR(E6*F6,"")</x:f>
        <x:v>0</x:v>
      </x:c>
      <x:c r="H6" s="32" t="str"/>
      <x:c r="I6" s="32" t="str"/>
      <x:c r="J6" s="32" t="str"/>
      <x:c r="K6" s="32" t="str">
        <x:v>Planned</x:v>
      </x:c>
      <x:c r="L6" s="32" t="str">
        <x:v>A</x:v>
      </x:c>
      <x:c r="M6" s="32" t="str"/>
      <x:c r="O6" t="str">
        <x:v>Total Part Count</x:v>
      </x:c>
      <x:c r="P6" t="n">
        <x:f>COUNTA(B5:B29)</x:f>
        <x:v>25</x:v>
      </x:c>
      <x:c r="Q6" t="str">
        <x:v>Number of listed parts</x:v>
      </x:c>
    </x:row>
    <x:row r="7" ht="15" hidden="0" customHeight="1">
      <x:c r="A7" s="32" t="n">
        <x:v>3</x:v>
      </x:c>
      <x:c r="B7" s="32" t="str"/>
      <x:c r="C7" s="32" t="str"/>
      <x:c r="D7" s="32" t="str"/>
      <x:c r="E7" s="32" t="str"/>
      <x:c r="F7" s="33" t="str"/>
      <x:c r="G7" s="33" t="n">
        <x:f>IFERROR(E7*F7,"")</x:f>
        <x:v>0</x:v>
      </x:c>
      <x:c r="H7" s="32" t="str"/>
      <x:c r="I7" s="32" t="str"/>
      <x:c r="J7" s="32" t="str"/>
      <x:c r="K7" s="32" t="str">
        <x:v>Planned</x:v>
      </x:c>
      <x:c r="L7" s="32" t="str">
        <x:v>A</x:v>
      </x:c>
      <x:c r="M7" s="32" t="str"/>
      <x:c r="O7" t="str">
        <x:v>Purchased Parts</x:v>
      </x:c>
      <x:c r="P7" t="n">
        <x:f>COUNTIF(I5:I29,"Purchased")</x:f>
        <x:v>0</x:v>
      </x:c>
      <x:c r="Q7" t="str">
        <x:v>Parts not manufactured in class</x:v>
      </x:c>
    </x:row>
    <x:row r="8" ht="15" hidden="0" customHeight="1">
      <x:c r="A8" s="32" t="n">
        <x:v>4</x:v>
      </x:c>
      <x:c r="B8" s="32" t="str"/>
      <x:c r="C8" s="32" t="str"/>
      <x:c r="D8" s="32" t="str"/>
      <x:c r="E8" s="32" t="str"/>
      <x:c r="F8" s="33" t="str"/>
      <x:c r="G8" s="33" t="n">
        <x:f>IFERROR(E8*F8,"")</x:f>
        <x:v>0</x:v>
      </x:c>
      <x:c r="H8" s="32" t="str"/>
      <x:c r="I8" s="32" t="str"/>
      <x:c r="J8" s="32" t="str"/>
      <x:c r="K8" s="32" t="str">
        <x:v>Planned</x:v>
      </x:c>
      <x:c r="L8" s="32" t="str">
        <x:v>A</x:v>
      </x:c>
      <x:c r="M8" s="32" t="str"/>
      <x:c r="O8" t="str">
        <x:v>3D Printed Parts</x:v>
      </x:c>
      <x:c r="P8" t="n">
        <x:f>COUNTIF(I5:I29,"3D Printed")</x:f>
        <x:v>0</x:v>
      </x:c>
      <x:c r="Q8" t="str">
        <x:v>Additive manufacturing count</x:v>
      </x:c>
    </x:row>
    <x:row r="9" ht="15" hidden="0" customHeight="1">
      <x:c r="A9" s="32" t="n">
        <x:v>5</x:v>
      </x:c>
      <x:c r="B9" s="32" t="str"/>
      <x:c r="C9" s="32" t="str"/>
      <x:c r="D9" s="32" t="str"/>
      <x:c r="E9" s="32" t="str"/>
      <x:c r="F9" s="33" t="str"/>
      <x:c r="G9" s="33" t="n">
        <x:f>IFERROR(E9*F9,"")</x:f>
        <x:v>0</x:v>
      </x:c>
      <x:c r="H9" s="32" t="str"/>
      <x:c r="I9" s="32" t="str"/>
      <x:c r="J9" s="32" t="str"/>
      <x:c r="K9" s="32" t="str">
        <x:v>Planned</x:v>
      </x:c>
      <x:c r="L9" s="32" t="str">
        <x:v>A</x:v>
      </x:c>
      <x:c r="M9" s="32" t="str"/>
      <x:c r="O9" t="str">
        <x:v>Laser Cut Parts</x:v>
      </x:c>
      <x:c r="P9" t="n">
        <x:f>COUNTIF(I5:I29,"Laser Cut")</x:f>
        <x:v>0</x:v>
      </x:c>
      <x:c r="Q9" t="str">
        <x:v>Sheet fabrication count</x:v>
      </x:c>
    </x:row>
    <x:row r="10" ht="15" hidden="0" customHeight="1">
      <x:c r="A10" s="32" t="n">
        <x:v>6</x:v>
      </x:c>
      <x:c r="B10" s="32" t="str"/>
      <x:c r="C10" s="32" t="str"/>
      <x:c r="D10" s="32" t="str"/>
      <x:c r="E10" s="32" t="str"/>
      <x:c r="F10" s="33" t="str"/>
      <x:c r="G10" s="33" t="n">
        <x:f>IFERROR(E10*F10,"")</x:f>
        <x:v>0</x:v>
      </x:c>
      <x:c r="H10" s="32" t="str"/>
      <x:c r="I10" s="32" t="str"/>
      <x:c r="J10" s="32" t="str"/>
      <x:c r="K10" s="32" t="str">
        <x:v>Planned</x:v>
      </x:c>
      <x:c r="L10" s="32" t="str">
        <x:v>A</x:v>
      </x:c>
      <x:c r="M10" s="32" t="str"/>
    </x:row>
    <x:row r="11" ht="15" hidden="0" customHeight="1">
      <x:c r="A11" s="32" t="n">
        <x:v>7</x:v>
      </x:c>
      <x:c r="B11" s="32" t="str"/>
      <x:c r="C11" s="32" t="str"/>
      <x:c r="D11" s="32" t="str"/>
      <x:c r="E11" s="32" t="str"/>
      <x:c r="F11" s="33" t="str"/>
      <x:c r="G11" s="33" t="n">
        <x:f>IFERROR(E11*F11,"")</x:f>
        <x:v>0</x:v>
      </x:c>
      <x:c r="H11" s="32" t="str"/>
      <x:c r="I11" s="32" t="str"/>
      <x:c r="J11" s="32" t="str"/>
      <x:c r="K11" s="32" t="str">
        <x:v>Planned</x:v>
      </x:c>
      <x:c r="L11" s="32" t="str">
        <x:v>A</x:v>
      </x:c>
      <x:c r="M11" s="32" t="str"/>
    </x:row>
    <x:row r="12" ht="15" hidden="0" customHeight="1">
      <x:c r="A12" s="32" t="n">
        <x:v>8</x:v>
      </x:c>
      <x:c r="B12" s="32" t="str"/>
      <x:c r="C12" s="32" t="str"/>
      <x:c r="D12" s="32" t="str"/>
      <x:c r="E12" s="32" t="str"/>
      <x:c r="F12" s="33" t="str"/>
      <x:c r="G12" s="33" t="n">
        <x:f>IFERROR(E12*F12,"")</x:f>
        <x:v>0</x:v>
      </x:c>
      <x:c r="H12" s="32" t="str"/>
      <x:c r="I12" s="32" t="str"/>
      <x:c r="J12" s="32" t="str"/>
      <x:c r="K12" s="32" t="str">
        <x:v>Planned</x:v>
      </x:c>
      <x:c r="L12" s="32" t="str">
        <x:v>A</x:v>
      </x:c>
      <x:c r="M12" s="32" t="str"/>
    </x:row>
    <x:row r="13" ht="15" hidden="0" customHeight="1">
      <x:c r="A13" s="32" t="n">
        <x:v>9</x:v>
      </x:c>
      <x:c r="B13" s="32" t="str"/>
      <x:c r="C13" s="32" t="str"/>
      <x:c r="D13" s="32" t="str"/>
      <x:c r="E13" s="32" t="str"/>
      <x:c r="F13" s="33" t="str"/>
      <x:c r="G13" s="33" t="n">
        <x:f>IFERROR(E13*F13,"")</x:f>
        <x:v>0</x:v>
      </x:c>
      <x:c r="H13" s="32" t="str"/>
      <x:c r="I13" s="32" t="str"/>
      <x:c r="J13" s="32" t="str"/>
      <x:c r="K13" s="32" t="str">
        <x:v>Planned</x:v>
      </x:c>
      <x:c r="L13" s="32" t="str">
        <x:v>A</x:v>
      </x:c>
      <x:c r="M13" s="32" t="str"/>
    </x:row>
    <x:row r="14" ht="15" hidden="0" customHeight="1">
      <x:c r="A14" s="32" t="n">
        <x:v>10</x:v>
      </x:c>
      <x:c r="B14" s="32" t="str"/>
      <x:c r="C14" s="32" t="str"/>
      <x:c r="D14" s="32" t="str"/>
      <x:c r="E14" s="32" t="str"/>
      <x:c r="F14" s="33" t="str"/>
      <x:c r="G14" s="33" t="n">
        <x:f>IFERROR(E14*F14,"")</x:f>
        <x:v>0</x:v>
      </x:c>
      <x:c r="H14" s="32" t="str"/>
      <x:c r="I14" s="32" t="str"/>
      <x:c r="J14" s="32" t="str"/>
      <x:c r="K14" s="32" t="str">
        <x:v>Planned</x:v>
      </x:c>
      <x:c r="L14" s="32" t="str">
        <x:v>A</x:v>
      </x:c>
      <x:c r="M14" s="32" t="str"/>
    </x:row>
    <x:row r="15" ht="15" hidden="0" customHeight="1">
      <x:c r="A15" s="32" t="n">
        <x:v>11</x:v>
      </x:c>
      <x:c r="B15" s="32" t="str"/>
      <x:c r="C15" s="32" t="str"/>
      <x:c r="D15" s="32" t="str"/>
      <x:c r="E15" s="32" t="str"/>
      <x:c r="F15" s="33" t="str"/>
      <x:c r="G15" s="33" t="n">
        <x:f>IFERROR(E15*F15,"")</x:f>
        <x:v>0</x:v>
      </x:c>
      <x:c r="H15" s="32" t="str"/>
      <x:c r="I15" s="32" t="str"/>
      <x:c r="J15" s="32" t="str"/>
      <x:c r="K15" s="32" t="str">
        <x:v>Planned</x:v>
      </x:c>
      <x:c r="L15" s="32" t="str">
        <x:v>A</x:v>
      </x:c>
      <x:c r="M15" s="32" t="str"/>
    </x:row>
    <x:row r="16" ht="15" hidden="0" customHeight="1">
      <x:c r="A16" s="32" t="n">
        <x:v>12</x:v>
      </x:c>
      <x:c r="B16" s="32" t="str"/>
      <x:c r="C16" s="32" t="str"/>
      <x:c r="D16" s="32" t="str"/>
      <x:c r="E16" s="32" t="str"/>
      <x:c r="F16" s="33" t="str"/>
      <x:c r="G16" s="33" t="n">
        <x:f>IFERROR(E16*F16,"")</x:f>
        <x:v>0</x:v>
      </x:c>
      <x:c r="H16" s="32" t="str"/>
      <x:c r="I16" s="32" t="str"/>
      <x:c r="J16" s="32" t="str"/>
      <x:c r="K16" s="32" t="str">
        <x:v>Planned</x:v>
      </x:c>
      <x:c r="L16" s="32" t="str">
        <x:v>A</x:v>
      </x:c>
      <x:c r="M16" s="32" t="str"/>
    </x:row>
    <x:row r="17" ht="15" hidden="0" customHeight="1">
      <x:c r="A17" s="32" t="n">
        <x:v>13</x:v>
      </x:c>
      <x:c r="B17" s="32" t="str"/>
      <x:c r="C17" s="32" t="str"/>
      <x:c r="D17" s="32" t="str"/>
      <x:c r="E17" s="32" t="str"/>
      <x:c r="F17" s="33" t="str"/>
      <x:c r="G17" s="33" t="n">
        <x:f>IFERROR(E17*F17,"")</x:f>
        <x:v>0</x:v>
      </x:c>
      <x:c r="H17" s="32" t="str"/>
      <x:c r="I17" s="32" t="str"/>
      <x:c r="J17" s="32" t="str"/>
      <x:c r="K17" s="32" t="str">
        <x:v>Planned</x:v>
      </x:c>
      <x:c r="L17" s="32" t="str">
        <x:v>A</x:v>
      </x:c>
      <x:c r="M17" s="32" t="str"/>
    </x:row>
    <x:row r="18" ht="15" hidden="0" customHeight="1">
      <x:c r="A18" s="32" t="n">
        <x:v>14</x:v>
      </x:c>
      <x:c r="B18" s="32" t="str"/>
      <x:c r="C18" s="32" t="str"/>
      <x:c r="D18" s="32" t="str"/>
      <x:c r="E18" s="32" t="str"/>
      <x:c r="F18" s="33" t="str"/>
      <x:c r="G18" s="33" t="n">
        <x:f>IFERROR(E18*F18,"")</x:f>
        <x:v>0</x:v>
      </x:c>
      <x:c r="H18" s="32" t="str"/>
      <x:c r="I18" s="32" t="str"/>
      <x:c r="J18" s="32" t="str"/>
      <x:c r="K18" s="32" t="str">
        <x:v>Planned</x:v>
      </x:c>
      <x:c r="L18" s="32" t="str">
        <x:v>A</x:v>
      </x:c>
      <x:c r="M18" s="32" t="str"/>
    </x:row>
    <x:row r="19" ht="15" hidden="0" customHeight="1">
      <x:c r="A19" s="32" t="n">
        <x:v>15</x:v>
      </x:c>
      <x:c r="B19" s="32" t="str"/>
      <x:c r="C19" s="32" t="str"/>
      <x:c r="D19" s="32" t="str"/>
      <x:c r="E19" s="32" t="str"/>
      <x:c r="F19" s="33" t="str"/>
      <x:c r="G19" s="33" t="n">
        <x:f>IFERROR(E19*F19,"")</x:f>
        <x:v>0</x:v>
      </x:c>
      <x:c r="H19" s="32" t="str"/>
      <x:c r="I19" s="32" t="str"/>
      <x:c r="J19" s="32" t="str"/>
      <x:c r="K19" s="32" t="str">
        <x:v>Planned</x:v>
      </x:c>
      <x:c r="L19" s="32" t="str">
        <x:v>A</x:v>
      </x:c>
      <x:c r="M19" s="32" t="str"/>
    </x:row>
    <x:row r="20" ht="15" hidden="0" customHeight="1">
      <x:c r="A20" s="32" t="n">
        <x:v>16</x:v>
      </x:c>
      <x:c r="B20" s="32" t="str"/>
      <x:c r="C20" s="32" t="str"/>
      <x:c r="D20" s="32" t="str"/>
      <x:c r="E20" s="32" t="str"/>
      <x:c r="F20" s="33" t="str"/>
      <x:c r="G20" s="33" t="n">
        <x:f>IFERROR(E20*F20,"")</x:f>
        <x:v>0</x:v>
      </x:c>
      <x:c r="H20" s="32" t="str"/>
      <x:c r="I20" s="32" t="str"/>
      <x:c r="J20" s="32" t="str"/>
      <x:c r="K20" s="32" t="str">
        <x:v>Planned</x:v>
      </x:c>
      <x:c r="L20" s="32" t="str">
        <x:v>A</x:v>
      </x:c>
      <x:c r="M20" s="32" t="str"/>
    </x:row>
    <x:row r="21" ht="15" hidden="0" customHeight="1">
      <x:c r="A21" s="32" t="n">
        <x:v>17</x:v>
      </x:c>
      <x:c r="B21" s="32" t="str"/>
      <x:c r="C21" s="32" t="str"/>
      <x:c r="D21" s="32" t="str"/>
      <x:c r="E21" s="32" t="str"/>
      <x:c r="F21" s="33" t="str"/>
      <x:c r="G21" s="33" t="n">
        <x:f>IFERROR(E21*F21,"")</x:f>
        <x:v>0</x:v>
      </x:c>
      <x:c r="H21" s="32" t="str"/>
      <x:c r="I21" s="32" t="str"/>
      <x:c r="J21" s="32" t="str"/>
      <x:c r="K21" s="32" t="str">
        <x:v>Planned</x:v>
      </x:c>
      <x:c r="L21" s="32" t="str">
        <x:v>A</x:v>
      </x:c>
      <x:c r="M21" s="32" t="str"/>
    </x:row>
    <x:row r="22" ht="15" hidden="0" customHeight="1">
      <x:c r="A22" s="32" t="n">
        <x:v>18</x:v>
      </x:c>
      <x:c r="B22" s="32" t="str"/>
      <x:c r="C22" s="32" t="str"/>
      <x:c r="D22" s="32" t="str"/>
      <x:c r="E22" s="32" t="str"/>
      <x:c r="F22" s="33" t="str"/>
      <x:c r="G22" s="33" t="n">
        <x:f>IFERROR(E22*F22,"")</x:f>
        <x:v>0</x:v>
      </x:c>
      <x:c r="H22" s="32" t="str"/>
      <x:c r="I22" s="32" t="str"/>
      <x:c r="J22" s="32" t="str"/>
      <x:c r="K22" s="32" t="str">
        <x:v>Planned</x:v>
      </x:c>
      <x:c r="L22" s="32" t="str">
        <x:v>A</x:v>
      </x:c>
      <x:c r="M22" s="32" t="str"/>
    </x:row>
    <x:row r="23" ht="15" hidden="0" customHeight="1">
      <x:c r="A23" s="32" t="n">
        <x:v>19</x:v>
      </x:c>
      <x:c r="B23" s="32" t="str"/>
      <x:c r="C23" s="32" t="str"/>
      <x:c r="D23" s="32" t="str"/>
      <x:c r="E23" s="32" t="str"/>
      <x:c r="F23" s="33" t="str"/>
      <x:c r="G23" s="33" t="n">
        <x:f>IFERROR(E23*F23,"")</x:f>
        <x:v>0</x:v>
      </x:c>
      <x:c r="H23" s="32" t="str"/>
      <x:c r="I23" s="32" t="str"/>
      <x:c r="J23" s="32" t="str"/>
      <x:c r="K23" s="32" t="str">
        <x:v>Planned</x:v>
      </x:c>
      <x:c r="L23" s="32" t="str">
        <x:v>A</x:v>
      </x:c>
      <x:c r="M23" s="32" t="str"/>
    </x:row>
    <x:row r="24" ht="15" hidden="0" customHeight="1">
      <x:c r="A24" s="32" t="n">
        <x:v>20</x:v>
      </x:c>
      <x:c r="B24" s="32" t="str"/>
      <x:c r="C24" s="32" t="str"/>
      <x:c r="D24" s="32" t="str"/>
      <x:c r="E24" s="32" t="str"/>
      <x:c r="F24" s="33" t="str"/>
      <x:c r="G24" s="33" t="n">
        <x:f>IFERROR(E24*F24,"")</x:f>
        <x:v>0</x:v>
      </x:c>
      <x:c r="H24" s="32" t="str"/>
      <x:c r="I24" s="32" t="str"/>
      <x:c r="J24" s="32" t="str"/>
      <x:c r="K24" s="32" t="str">
        <x:v>Planned</x:v>
      </x:c>
      <x:c r="L24" s="32" t="str">
        <x:v>A</x:v>
      </x:c>
      <x:c r="M24" s="32" t="str"/>
    </x:row>
    <x:row r="25" ht="15" hidden="0" customHeight="1">
      <x:c r="A25" s="32" t="n">
        <x:v>21</x:v>
      </x:c>
      <x:c r="B25" s="32" t="str"/>
      <x:c r="C25" s="32" t="str"/>
      <x:c r="D25" s="32" t="str"/>
      <x:c r="E25" s="32" t="str"/>
      <x:c r="F25" s="33" t="str"/>
      <x:c r="G25" s="33" t="n">
        <x:f>IFERROR(E25*F25,"")</x:f>
        <x:v>0</x:v>
      </x:c>
      <x:c r="H25" s="32" t="str"/>
      <x:c r="I25" s="32" t="str"/>
      <x:c r="J25" s="32" t="str"/>
      <x:c r="K25" s="32" t="str">
        <x:v>Planned</x:v>
      </x:c>
      <x:c r="L25" s="32" t="str">
        <x:v>A</x:v>
      </x:c>
      <x:c r="M25" s="32" t="str"/>
    </x:row>
    <x:row r="26" ht="15" hidden="0" customHeight="1">
      <x:c r="A26" s="32" t="n">
        <x:v>22</x:v>
      </x:c>
      <x:c r="B26" s="32" t="str"/>
      <x:c r="C26" s="32" t="str"/>
      <x:c r="D26" s="32" t="str"/>
      <x:c r="E26" s="32" t="str"/>
      <x:c r="F26" s="33" t="str"/>
      <x:c r="G26" s="33" t="n">
        <x:f>IFERROR(E26*F26,"")</x:f>
        <x:v>0</x:v>
      </x:c>
      <x:c r="H26" s="32" t="str"/>
      <x:c r="I26" s="32" t="str"/>
      <x:c r="J26" s="32" t="str"/>
      <x:c r="K26" s="32" t="str">
        <x:v>Planned</x:v>
      </x:c>
      <x:c r="L26" s="32" t="str">
        <x:v>A</x:v>
      </x:c>
      <x:c r="M26" s="32" t="str"/>
    </x:row>
    <x:row r="27" ht="15" hidden="0" customHeight="1">
      <x:c r="A27" s="32" t="n">
        <x:v>23</x:v>
      </x:c>
      <x:c r="B27" s="32" t="str"/>
      <x:c r="C27" s="32" t="str"/>
      <x:c r="D27" s="32" t="str"/>
      <x:c r="E27" s="32" t="str"/>
      <x:c r="F27" s="33" t="str"/>
      <x:c r="G27" s="33" t="n">
        <x:f>IFERROR(E27*F27,"")</x:f>
        <x:v>0</x:v>
      </x:c>
      <x:c r="H27" s="32" t="str"/>
      <x:c r="I27" s="32" t="str"/>
      <x:c r="J27" s="32" t="str"/>
      <x:c r="K27" s="32" t="str">
        <x:v>Planned</x:v>
      </x:c>
      <x:c r="L27" s="32" t="str">
        <x:v>A</x:v>
      </x:c>
      <x:c r="M27" s="32" t="str"/>
    </x:row>
    <x:row r="28" ht="15" hidden="0" customHeight="1">
      <x:c r="A28" s="32" t="n">
        <x:v>24</x:v>
      </x:c>
      <x:c r="B28" s="32" t="str"/>
      <x:c r="C28" s="32" t="str"/>
      <x:c r="D28" s="32" t="str"/>
      <x:c r="E28" s="32" t="str"/>
      <x:c r="F28" s="33" t="str"/>
      <x:c r="G28" s="33" t="n">
        <x:f>IFERROR(E28*F28,"")</x:f>
        <x:v>0</x:v>
      </x:c>
      <x:c r="H28" s="32" t="str"/>
      <x:c r="I28" s="32" t="str"/>
      <x:c r="J28" s="32" t="str"/>
      <x:c r="K28" s="32" t="str">
        <x:v>Planned</x:v>
      </x:c>
      <x:c r="L28" s="32" t="str">
        <x:v>A</x:v>
      </x:c>
      <x:c r="M28" s="32" t="str"/>
    </x:row>
    <x:row r="29" ht="15" hidden="0" customHeight="1">
      <x:c r="A29" s="32" t="n">
        <x:v>25</x:v>
      </x:c>
      <x:c r="B29" s="32" t="str"/>
      <x:c r="C29" s="32" t="str"/>
      <x:c r="D29" s="32" t="str"/>
      <x:c r="E29" s="32" t="str"/>
      <x:c r="F29" s="33" t="str"/>
      <x:c r="G29" s="33" t="n">
        <x:f>IFERROR(E29*F29,"")</x:f>
        <x:v>0</x:v>
      </x:c>
      <x:c r="H29" s="32" t="str"/>
      <x:c r="I29" s="32" t="str"/>
      <x:c r="J29" s="32" t="str"/>
      <x:c r="K29" s="32" t="str">
        <x:v>Planned</x:v>
      </x:c>
      <x:c r="L29" s="32" t="str">
        <x:v>A</x:v>
      </x:c>
      <x:c r="M29" s="32" t="str"/>
    </x:row>
  </x:sheetData>
  <x:mergeCells>
    <x:mergeCell ref="A1:M1"/>
    <x:mergeCell ref="A2:M2"/>
  </x:mergeCells>
  <x:conditionalFormatting sqref="K5:K29">
    <x:cfRule type="expression" dxfId="0" priority="1">
      <x:formula>K5="Complete"</x:formula>
    </x:cfRule>
    <x:cfRule type="expression" dxfId="1" priority="2">
      <x:formula>K5="Rejected"</x:formula>
    </x:cfRule>
    <x:cfRule type="expression" dxfId="2" priority="3">
      <x:formula>K5="Revision Needed"</x:formula>
    </x:cfRule>
  </x:conditionalFormatting>
  <x:dataValidations count="4">
    <x:dataValidation type="list" sqref="C5:C29">
      <x:formula1>"Airframe,Payload,Propulsion,Control,Structure,Fasteners,Electronics,Documentation,Other"</x:formula1>
    </x:dataValidation>
    <x:dataValidation type="list" sqref="D5:D29">
      <x:formula1>"Custom,Commercial,Fastener,Consumable,Tooling,Material"</x:formula1>
    </x:dataValidation>
    <x:dataValidation type="list" sqref="I5:I29">
      <x:formula1>"3D Printed,Laser Cut,Hand Fabricated,Purchased,Reused,Teacher Provided"</x:formula1>
    </x:dataValidation>
    <x:dataValidation type="list" sqref="K5:K29">
      <x:formula1>"Planned,Need Approval,Ordered,In Fabrication,Complete,Rejected,Revision Needed"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0231158e454ae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2" hidden="0" customWidth="1"/>
    <x:col min="4" max="4" width="12" hidden="0" customWidth="1"/>
    <x:col min="5" max="5" width="32" hidden="0" customWidth="1"/>
  </x:cols>
  <x:sheetData>
    <x:row r="1" ht="34" customHeight="1">
      <x:c r="A1" s="5" t="str">
        <x:v>BOM Instructions</x:v>
      </x:c>
      <x:c r="B1" s="5"/>
      <x:c r="C1" s="5"/>
      <x:c r="D1" s="5"/>
      <x:c r="E1" s="5"/>
    </x:row>
    <x:row r="2" ht="24" customHeight="1">
      <x:c r="A2" s="13" t="str">
        <x:v>A bill of materials should allow another person to understand what your design requires.</x:v>
      </x:c>
      <x:c r="B2" s="13"/>
      <x:c r="C2" s="13"/>
      <x:c r="D2" s="13"/>
      <x:c r="E2" s="13"/>
    </x:row>
    <x:row r="4" ht="32" customHeight="1">
      <x:c r="A4" s="22" t="str">
        <x:v>Field</x:v>
      </x:c>
      <x:c r="B4" s="22" t="str">
        <x:v>Purpose</x:v>
      </x:c>
      <x:c r="C4" s="22" t="str">
        <x:v>Example</x:v>
      </x:c>
      <x:c r="D4" s="22" t="str">
        <x:v>Required?</x:v>
      </x:c>
      <x:c r="E4" s="22" t="str">
        <x:v>Notes</x:v>
      </x:c>
    </x:row>
    <x:row r="5" ht="15" hidden="0" customHeight="1">
      <x:c r="A5" s="32" t="str">
        <x:v>Part Name</x:v>
      </x:c>
      <x:c r="B5" s="32" t="str">
        <x:v>Identifies the item</x:v>
      </x:c>
      <x:c r="C5" s="32" t="str">
        <x:v>Payload bay side plate</x:v>
      </x:c>
      <x:c r="D5" s="32" t="str">
        <x:v>Yes</x:v>
      </x:c>
      <x:c r="E5" s="32" t="str">
        <x:v>Use descriptive names.</x:v>
      </x:c>
    </x:row>
    <x:row r="6" ht="15" hidden="0" customHeight="1">
      <x:c r="A6" s="32" t="str">
        <x:v>Subsystem</x:v>
      </x:c>
      <x:c r="B6" s="32" t="str">
        <x:v>Shows where part belongs</x:v>
      </x:c>
      <x:c r="C6" s="32" t="str">
        <x:v>Payload</x:v>
      </x:c>
      <x:c r="D6" s="32" t="str">
        <x:v>Yes</x:v>
      </x:c>
      <x:c r="E6" s="32" t="str">
        <x:v>Helps organize complex assemblies.</x:v>
      </x:c>
    </x:row>
    <x:row r="7" ht="15" hidden="0" customHeight="1">
      <x:c r="A7" s="32" t="str">
        <x:v>Qty</x:v>
      </x:c>
      <x:c r="B7" s="32" t="str">
        <x:v>Number needed</x:v>
      </x:c>
      <x:c r="C7" s="32" t="str">
        <x:v>4</x:v>
      </x:c>
      <x:c r="D7" s="32" t="str">
        <x:v>Yes</x:v>
      </x:c>
      <x:c r="E7" s="32" t="str">
        <x:v>Check assemblies before finalizing.</x:v>
      </x:c>
    </x:row>
    <x:row r="8" ht="15" hidden="0" customHeight="1">
      <x:c r="A8" s="32" t="str">
        <x:v>Material</x:v>
      </x:c>
      <x:c r="B8" s="32" t="str">
        <x:v>What it is made from</x:v>
      </x:c>
      <x:c r="C8" s="32" t="str">
        <x:v>PLA, plywood, aluminum</x:v>
      </x:c>
      <x:c r="D8" s="32" t="str">
        <x:v>Yes</x:v>
      </x:c>
      <x:c r="E8" s="32" t="str">
        <x:v>Should match fabrication plan.</x:v>
      </x:c>
    </x:row>
    <x:row r="9" ht="15" hidden="0" customHeight="1">
      <x:c r="A9" s="32" t="str">
        <x:v>Manufacturing Method</x:v>
      </x:c>
      <x:c r="B9" s="32" t="str">
        <x:v>How it will be made</x:v>
      </x:c>
      <x:c r="C9" s="32" t="str">
        <x:v>3D Printed</x:v>
      </x:c>
      <x:c r="D9" s="32" t="str">
        <x:v>Yes</x:v>
      </x:c>
      <x:c r="E9" s="32" t="str">
        <x:v>Connects BOM to FabLab workflow.</x:v>
      </x:c>
    </x:row>
    <x:row r="10" ht="15" hidden="0" customHeight="1">
      <x:c r="A10" s="32" t="str">
        <x:v>Status</x:v>
      </x:c>
      <x:c r="B10" s="32" t="str">
        <x:v>Current progress</x:v>
      </x:c>
      <x:c r="C10" s="32" t="str">
        <x:v>In Fabrication</x:v>
      </x:c>
      <x:c r="D10" s="32" t="str">
        <x:v>Yes</x:v>
      </x:c>
      <x:c r="E10" s="32" t="str">
        <x:v>Update during project work.</x:v>
      </x:c>
    </x:row>
  </x:sheetData>
  <x:mergeCells>
    <x:mergeCell ref="A1:E1"/>
    <x:mergeCell ref="A2:E2"/>
  </x:mergeCells>
  <x:pageMargins left="0.7" right="0.7" top="0.75" bottom="0.75" header="0.3" footer="0.3"/>
</x:worksheet>
</file>